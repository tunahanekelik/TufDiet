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1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90530\Desktop\"/>
    </mc:Choice>
  </mc:AlternateContent>
  <xr:revisionPtr revIDLastSave="0" documentId="8_{9AEAFD81-C8F9-4FC3-AE0F-08621C3864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_0001" sheetId="17" r:id="rId1"/>
    <sheet name="Ref1" sheetId="20" r:id="rId2"/>
  </sheets>
  <definedNames>
    <definedName name="_xlnm.Print_Area" localSheetId="0">Form_0001!$B$1:$AT$23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20" l="1"/>
  <c r="AK11" i="17"/>
  <c r="Q4" i="20" l="1"/>
  <c r="R3" i="20"/>
  <c r="Q5" i="20" l="1"/>
  <c r="R4" i="20"/>
  <c r="Q6" i="20" l="1"/>
  <c r="R5" i="20"/>
  <c r="Q7" i="20" l="1"/>
  <c r="R6" i="20"/>
  <c r="Q8" i="20" l="1"/>
  <c r="R7" i="20"/>
  <c r="Q9" i="20" l="1"/>
  <c r="R8" i="20"/>
  <c r="Q10" i="20" l="1"/>
  <c r="R9" i="20"/>
  <c r="Q11" i="20" l="1"/>
  <c r="R10" i="20"/>
  <c r="Q12" i="20" l="1"/>
  <c r="R11" i="20"/>
  <c r="Q13" i="20" l="1"/>
  <c r="R12" i="20"/>
  <c r="Q14" i="20" l="1"/>
  <c r="R13" i="20"/>
  <c r="Q15" i="20" l="1"/>
  <c r="R14" i="20"/>
  <c r="Q16" i="20" l="1"/>
  <c r="R15" i="20"/>
  <c r="Q17" i="20" l="1"/>
  <c r="R16" i="20"/>
  <c r="Q18" i="20" l="1"/>
  <c r="R17" i="20"/>
  <c r="Q19" i="20" l="1"/>
  <c r="R18" i="20"/>
  <c r="Q20" i="20" l="1"/>
  <c r="R19" i="20"/>
  <c r="Q21" i="20" l="1"/>
  <c r="R20" i="20"/>
  <c r="Q22" i="20" l="1"/>
  <c r="R21" i="20"/>
  <c r="Q23" i="20" l="1"/>
  <c r="R22" i="20"/>
  <c r="Q24" i="20" l="1"/>
  <c r="R23" i="20"/>
  <c r="Q25" i="20" l="1"/>
  <c r="R24" i="20"/>
  <c r="Q26" i="20" l="1"/>
  <c r="R25" i="20"/>
  <c r="Q27" i="20" l="1"/>
  <c r="R26" i="20"/>
  <c r="Q28" i="20" l="1"/>
  <c r="R27" i="20"/>
  <c r="Q29" i="20" l="1"/>
  <c r="R28" i="20"/>
  <c r="Q30" i="20" l="1"/>
  <c r="R29" i="20"/>
  <c r="Q31" i="20" l="1"/>
  <c r="R30" i="20"/>
  <c r="Q32" i="20" l="1"/>
  <c r="R31" i="20"/>
  <c r="Q33" i="20" l="1"/>
  <c r="R32" i="20"/>
  <c r="Q34" i="20" l="1"/>
  <c r="R33" i="20"/>
  <c r="Q35" i="20" l="1"/>
  <c r="R34" i="20"/>
  <c r="Q36" i="20" l="1"/>
  <c r="R35" i="20"/>
  <c r="Q37" i="20" l="1"/>
  <c r="R36" i="20"/>
  <c r="Q38" i="20" l="1"/>
  <c r="R37" i="20"/>
  <c r="Q39" i="20" l="1"/>
  <c r="R38" i="20"/>
  <c r="Q40" i="20" l="1"/>
  <c r="R39" i="20"/>
  <c r="Q41" i="20" l="1"/>
  <c r="R40" i="20"/>
  <c r="Q42" i="20" l="1"/>
  <c r="R41" i="20"/>
  <c r="Q43" i="20" l="1"/>
  <c r="R42" i="20"/>
  <c r="Q44" i="20" l="1"/>
  <c r="R43" i="20"/>
  <c r="Q45" i="20" l="1"/>
  <c r="R44" i="20"/>
  <c r="Q46" i="20" l="1"/>
  <c r="R45" i="20"/>
  <c r="Q47" i="20" l="1"/>
  <c r="R46" i="20"/>
  <c r="Q48" i="20" l="1"/>
  <c r="R47" i="20"/>
  <c r="Q49" i="20" l="1"/>
  <c r="R48" i="20"/>
  <c r="Q50" i="20" l="1"/>
  <c r="R49" i="20"/>
  <c r="Q51" i="20" l="1"/>
  <c r="R50" i="20"/>
  <c r="Q52" i="20" l="1"/>
  <c r="R51" i="20"/>
  <c r="Q53" i="20" l="1"/>
  <c r="R52" i="20"/>
  <c r="Q54" i="20" l="1"/>
  <c r="R53" i="20"/>
  <c r="Q55" i="20" l="1"/>
  <c r="R54" i="20"/>
  <c r="Q56" i="20" l="1"/>
  <c r="R55" i="20"/>
  <c r="Q57" i="20" l="1"/>
  <c r="R56" i="20"/>
  <c r="Q58" i="20" l="1"/>
  <c r="R57" i="20"/>
  <c r="Q59" i="20" l="1"/>
  <c r="R58" i="20"/>
  <c r="Q60" i="20" l="1"/>
  <c r="R59" i="20"/>
  <c r="Q61" i="20" l="1"/>
  <c r="R60" i="20"/>
  <c r="Q62" i="20" l="1"/>
  <c r="R61" i="20"/>
  <c r="Q63" i="20" l="1"/>
  <c r="R62" i="20"/>
  <c r="Q64" i="20" l="1"/>
  <c r="R63" i="20"/>
  <c r="Q65" i="20" l="1"/>
  <c r="R64" i="20"/>
  <c r="Q66" i="20" l="1"/>
  <c r="R65" i="20"/>
  <c r="Q67" i="20" l="1"/>
  <c r="R66" i="20"/>
  <c r="Q68" i="20" l="1"/>
  <c r="R67" i="20"/>
  <c r="Q69" i="20" l="1"/>
  <c r="R68" i="20"/>
  <c r="Q70" i="20" l="1"/>
  <c r="R69" i="20"/>
  <c r="Q71" i="20" l="1"/>
  <c r="R70" i="20"/>
  <c r="Q72" i="20" l="1"/>
  <c r="R71" i="20"/>
  <c r="Q73" i="20" l="1"/>
  <c r="R72" i="20"/>
  <c r="Q74" i="20" l="1"/>
  <c r="R73" i="20"/>
  <c r="Q75" i="20" l="1"/>
  <c r="R74" i="20"/>
  <c r="Q76" i="20" l="1"/>
  <c r="R75" i="20"/>
  <c r="Q77" i="20" l="1"/>
  <c r="R76" i="20"/>
  <c r="Q78" i="20" l="1"/>
  <c r="R77" i="20"/>
  <c r="Q79" i="20" l="1"/>
  <c r="R78" i="20"/>
  <c r="Q80" i="20" l="1"/>
  <c r="R79" i="20"/>
  <c r="Q81" i="20" l="1"/>
  <c r="R80" i="20"/>
  <c r="Q82" i="20" l="1"/>
  <c r="R81" i="20"/>
  <c r="Q83" i="20" l="1"/>
  <c r="R82" i="20"/>
  <c r="Q84" i="20" l="1"/>
  <c r="R83" i="20"/>
  <c r="Q85" i="20" l="1"/>
  <c r="R84" i="20"/>
  <c r="Q86" i="20" l="1"/>
  <c r="R85" i="20"/>
  <c r="Q87" i="20" l="1"/>
  <c r="R86" i="20"/>
  <c r="Q88" i="20" l="1"/>
  <c r="R87" i="20"/>
  <c r="Q89" i="20" l="1"/>
  <c r="R88" i="20"/>
  <c r="Q90" i="20" l="1"/>
  <c r="R89" i="20"/>
  <c r="Q91" i="20" l="1"/>
  <c r="R90" i="20"/>
  <c r="Q92" i="20" l="1"/>
  <c r="R91" i="20"/>
  <c r="Q93" i="20" l="1"/>
  <c r="R92" i="20"/>
  <c r="Q94" i="20" l="1"/>
  <c r="R93" i="20"/>
  <c r="Q95" i="20" l="1"/>
  <c r="R94" i="20"/>
  <c r="Q96" i="20" l="1"/>
  <c r="R95" i="20"/>
  <c r="Q97" i="20" l="1"/>
  <c r="R96" i="20"/>
  <c r="Q98" i="20" l="1"/>
  <c r="R97" i="20"/>
  <c r="Q99" i="20" l="1"/>
  <c r="R99" i="20" s="1"/>
  <c r="R98" i="20"/>
</calcChain>
</file>

<file path=xl/sharedStrings.xml><?xml version="1.0" encoding="utf-8"?>
<sst xmlns="http://schemas.openxmlformats.org/spreadsheetml/2006/main" count="81" uniqueCount="63">
  <si>
    <t>İSTANBUL TOPKAPI ÜNİVERSİTESİ</t>
  </si>
  <si>
    <t>KISMİ ZAMANLI ÖĞRENCİ AYLIK ÇALIŞMA ÇİZELGESİ</t>
  </si>
  <si>
    <t>Adı Soyadı</t>
  </si>
  <si>
    <t>EBRAR EROL</t>
  </si>
  <si>
    <t>Yıl</t>
  </si>
  <si>
    <t>Çalıştığı Birim</t>
  </si>
  <si>
    <t>Bilgisayar Mühendisliği Öğrenci Asistanı</t>
  </si>
  <si>
    <t>Yarıyıl</t>
  </si>
  <si>
    <t>Güz</t>
  </si>
  <si>
    <t>Bölümü</t>
  </si>
  <si>
    <t xml:space="preserve">BİLGİSAYAR MÜHENDİSLİĞİ(İngilizce) </t>
  </si>
  <si>
    <t>Ait Olduğu Dönem</t>
  </si>
  <si>
    <t>Ekim</t>
  </si>
  <si>
    <t>Kasım</t>
  </si>
  <si>
    <t>Sınıfı</t>
  </si>
  <si>
    <t>3. Sınıf</t>
  </si>
  <si>
    <t>GÜNLER</t>
  </si>
  <si>
    <t>Aylık Topl.</t>
  </si>
  <si>
    <t>ÖĞRENCİ</t>
  </si>
  <si>
    <t>DAİRE BAŞKANI</t>
  </si>
  <si>
    <t>GENEL SEKRETER</t>
  </si>
  <si>
    <t>ADI SOYADI</t>
  </si>
  <si>
    <t xml:space="preserve">UMUT ABDUL SÜSLER </t>
  </si>
  <si>
    <t>DOKTOR ÖĞRETİM ÜYESİ</t>
  </si>
  <si>
    <t>BORA GÜNDÜZYELİ</t>
  </si>
  <si>
    <t>İMZA</t>
  </si>
  <si>
    <t>Birinci Öğr.</t>
  </si>
  <si>
    <t>Eylül</t>
  </si>
  <si>
    <t>Eyl.</t>
  </si>
  <si>
    <t>Ön Lisans</t>
  </si>
  <si>
    <t>Bahar</t>
  </si>
  <si>
    <t>İkinci Öğr.</t>
  </si>
  <si>
    <t>Ekm.</t>
  </si>
  <si>
    <t>Lisans</t>
  </si>
  <si>
    <t>Pz</t>
  </si>
  <si>
    <t>Yaz Okulu</t>
  </si>
  <si>
    <t>Kas.</t>
  </si>
  <si>
    <t>Yüksek Lisans</t>
  </si>
  <si>
    <t>Pt</t>
  </si>
  <si>
    <t>Aralık</t>
  </si>
  <si>
    <t>Ara.</t>
  </si>
  <si>
    <t>Doktora</t>
  </si>
  <si>
    <t>S</t>
  </si>
  <si>
    <t>Ocak</t>
  </si>
  <si>
    <t>Ock.</t>
  </si>
  <si>
    <t>Ç</t>
  </si>
  <si>
    <t>Şubat</t>
  </si>
  <si>
    <t>Şub.</t>
  </si>
  <si>
    <t>P</t>
  </si>
  <si>
    <t>Mart</t>
  </si>
  <si>
    <t>Mar.</t>
  </si>
  <si>
    <t>C</t>
  </si>
  <si>
    <t>Nisan</t>
  </si>
  <si>
    <t>Nis.</t>
  </si>
  <si>
    <t>Ct</t>
  </si>
  <si>
    <t>Mayıs</t>
  </si>
  <si>
    <t>May.</t>
  </si>
  <si>
    <t>Haziran</t>
  </si>
  <si>
    <t>Haz.</t>
  </si>
  <si>
    <t>Temmuz</t>
  </si>
  <si>
    <t>Tem.</t>
  </si>
  <si>
    <t>Ağustos</t>
  </si>
  <si>
    <t>Ağu.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</si>
</sst>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;@"/>
  </numFmts>
  <fonts count="17">
    <font>
      <sz val="10"/>
      <name val="Arial Tur"/>
      <charset val="162"/>
    </font>
    <font>
      <sz val="10"/>
      <name val="Calibri"/>
      <charset val="134"/>
      <scheme val="minor"/>
    </font>
    <font>
      <sz val="16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b/>
      <sz val="9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name val="Calibri"/>
      <charset val="134"/>
      <scheme val="minor"/>
    </font>
    <font>
      <b/>
      <i/>
      <sz val="9"/>
      <name val="Calibri"/>
      <charset val="134"/>
      <scheme val="minor"/>
    </font>
    <font>
      <sz val="9"/>
      <name val="Calibri"/>
      <charset val="134"/>
      <scheme val="minor"/>
    </font>
    <font>
      <sz val="8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0"/>
      <color theme="0" tint="-0.34998626667073579"/>
      <name val="Calibri"/>
      <charset val="134"/>
      <scheme val="minor"/>
    </font>
    <font>
      <sz val="8"/>
      <color theme="0" tint="-0.34998626667073579"/>
      <name val="Calibri"/>
      <charset val="134"/>
      <scheme val="minor"/>
    </font>
    <font>
      <b/>
      <sz val="12"/>
      <name val="Calibri"/>
      <charset val="162"/>
      <scheme val="minor"/>
    </font>
    <font>
      <sz val="11"/>
      <name val="Calibri"/>
      <charset val="162"/>
      <scheme val="minor"/>
    </font>
    <font>
      <b/>
      <sz val="12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2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164" fontId="0" fillId="0" borderId="0" xfId="0" applyNumberFormat="1"/>
    <xf numFmtId="14" fontId="0" fillId="0" borderId="0" xfId="0" applyNumberFormat="1"/>
    <xf numFmtId="1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textRotation="90"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4" xfId="0" applyFont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6" fillId="0" borderId="4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7" fillId="0" borderId="2" xfId="0" applyFont="1" applyBorder="1" applyAlignment="1" applyProtection="1">
      <alignment horizontal="left" vertical="center" indent="1"/>
      <protection locked="0"/>
    </xf>
    <xf numFmtId="0" fontId="7" fillId="0" borderId="21" xfId="0" applyFont="1" applyBorder="1" applyAlignment="1" applyProtection="1">
      <alignment horizontal="left" vertical="center" indent="1"/>
      <protection locked="0"/>
    </xf>
    <xf numFmtId="0" fontId="4" fillId="3" borderId="1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3" borderId="2" xfId="0" applyFont="1" applyFill="1" applyBorder="1" applyAlignment="1" applyProtection="1">
      <alignment horizontal="left" vertical="center" indent="1"/>
      <protection locked="0"/>
    </xf>
    <xf numFmtId="0" fontId="4" fillId="3" borderId="21" xfId="0" applyFont="1" applyFill="1" applyBorder="1" applyAlignment="1" applyProtection="1">
      <alignment horizontal="left" vertical="center" indent="1"/>
      <protection locked="0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7" fillId="0" borderId="4" xfId="0" applyFont="1" applyBorder="1" applyAlignment="1" applyProtection="1">
      <alignment horizontal="left" vertical="center" indent="1"/>
      <protection locked="0"/>
    </xf>
    <xf numFmtId="0" fontId="7" fillId="0" borderId="22" xfId="0" applyFont="1" applyBorder="1" applyAlignment="1" applyProtection="1">
      <alignment horizontal="left" vertical="center" indent="1"/>
      <protection locked="0"/>
    </xf>
    <xf numFmtId="0" fontId="4" fillId="3" borderId="3" xfId="0" applyFont="1" applyFill="1" applyBorder="1" applyAlignment="1">
      <alignment horizontal="left" vertical="center" indent="1"/>
    </xf>
    <xf numFmtId="0" fontId="4" fillId="3" borderId="4" xfId="0" applyFont="1" applyFill="1" applyBorder="1" applyAlignment="1">
      <alignment horizontal="left" vertical="center" indent="1"/>
    </xf>
    <xf numFmtId="0" fontId="4" fillId="3" borderId="4" xfId="0" applyFont="1" applyFill="1" applyBorder="1" applyAlignment="1" applyProtection="1">
      <alignment horizontal="left" vertical="center" indent="1"/>
      <protection locked="0"/>
    </xf>
    <xf numFmtId="0" fontId="4" fillId="3" borderId="22" xfId="0" applyFont="1" applyFill="1" applyBorder="1" applyAlignment="1" applyProtection="1">
      <alignment horizontal="left" vertical="center" indent="1"/>
      <protection locked="0"/>
    </xf>
    <xf numFmtId="0" fontId="4" fillId="3" borderId="5" xfId="0" applyFont="1" applyFill="1" applyBorder="1" applyAlignment="1">
      <alignment horizontal="left" vertical="center" indent="1"/>
    </xf>
    <xf numFmtId="0" fontId="4" fillId="3" borderId="6" xfId="0" applyFont="1" applyFill="1" applyBorder="1" applyAlignment="1">
      <alignment horizontal="left" vertical="center" indent="1"/>
    </xf>
    <xf numFmtId="0" fontId="4" fillId="3" borderId="6" xfId="0" applyFont="1" applyFill="1" applyBorder="1" applyAlignment="1" applyProtection="1">
      <alignment horizontal="left" vertical="center" indent="1"/>
      <protection locked="0"/>
    </xf>
    <xf numFmtId="0" fontId="4" fillId="3" borderId="23" xfId="0" applyFont="1" applyFill="1" applyBorder="1" applyAlignment="1" applyProtection="1">
      <alignment horizontal="left" vertical="center" indent="1"/>
      <protection locked="0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7" fillId="0" borderId="6" xfId="0" applyFont="1" applyBorder="1" applyAlignment="1" applyProtection="1">
      <alignment horizontal="left" vertical="center" indent="1"/>
      <protection locked="0"/>
    </xf>
    <xf numFmtId="0" fontId="7" fillId="0" borderId="23" xfId="0" applyFont="1" applyBorder="1" applyAlignment="1" applyProtection="1">
      <alignment horizontal="left" vertical="center" indent="1"/>
      <protection locked="0"/>
    </xf>
    <xf numFmtId="0" fontId="7" fillId="3" borderId="12" xfId="0" applyFont="1" applyFill="1" applyBorder="1" applyAlignment="1">
      <alignment horizontal="center" vertical="center" textRotation="90"/>
    </xf>
    <xf numFmtId="0" fontId="7" fillId="3" borderId="13" xfId="0" applyFont="1" applyFill="1" applyBorder="1" applyAlignment="1">
      <alignment horizontal="center" vertical="center" textRotation="90"/>
    </xf>
    <xf numFmtId="0" fontId="7" fillId="3" borderId="14" xfId="0" applyFont="1" applyFill="1" applyBorder="1" applyAlignment="1">
      <alignment horizontal="center" vertical="center" textRotation="9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1" fillId="4" borderId="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14" fontId="11" fillId="2" borderId="16" xfId="0" applyNumberFormat="1" applyFont="1" applyFill="1" applyBorder="1" applyAlignment="1">
      <alignment horizontal="center" textRotation="90"/>
    </xf>
    <xf numFmtId="14" fontId="11" fillId="2" borderId="19" xfId="0" applyNumberFormat="1" applyFont="1" applyFill="1" applyBorder="1" applyAlignment="1">
      <alignment horizontal="center" textRotation="90"/>
    </xf>
    <xf numFmtId="14" fontId="11" fillId="2" borderId="17" xfId="0" applyNumberFormat="1" applyFont="1" applyFill="1" applyBorder="1" applyAlignment="1">
      <alignment horizontal="center" textRotation="90"/>
    </xf>
    <xf numFmtId="14" fontId="11" fillId="2" borderId="20" xfId="0" applyNumberFormat="1" applyFont="1" applyFill="1" applyBorder="1" applyAlignment="1">
      <alignment horizontal="center" textRotation="90"/>
    </xf>
    <xf numFmtId="14" fontId="11" fillId="2" borderId="15" xfId="0" applyNumberFormat="1" applyFont="1" applyFill="1" applyBorder="1" applyAlignment="1">
      <alignment horizontal="center" textRotation="90"/>
    </xf>
    <xf numFmtId="14" fontId="11" fillId="2" borderId="18" xfId="0" applyNumberFormat="1" applyFont="1" applyFill="1" applyBorder="1" applyAlignment="1">
      <alignment horizontal="center" textRotation="90"/>
    </xf>
    <xf numFmtId="0" fontId="14" fillId="4" borderId="1" xfId="0" applyFont="1" applyFill="1" applyBorder="1" applyAlignment="1" applyProtection="1">
      <alignment horizontal="center" vertical="center"/>
      <protection locked="0"/>
    </xf>
    <xf numFmtId="0" fontId="14" fillId="4" borderId="2" xfId="0" applyFont="1" applyFill="1" applyBorder="1" applyAlignment="1" applyProtection="1">
      <alignment horizontal="center" vertical="center"/>
      <protection locked="0"/>
    </xf>
    <xf numFmtId="0" fontId="14" fillId="4" borderId="21" xfId="0" applyFont="1" applyFill="1" applyBorder="1" applyAlignment="1" applyProtection="1">
      <alignment horizontal="center" vertical="center"/>
      <protection locked="0"/>
    </xf>
    <xf numFmtId="0" fontId="14" fillId="4" borderId="3" xfId="0" applyFont="1" applyFill="1" applyBorder="1" applyAlignment="1" applyProtection="1">
      <alignment horizontal="center" vertical="center"/>
      <protection locked="0"/>
    </xf>
    <xf numFmtId="0" fontId="14" fillId="4" borderId="4" xfId="0" applyFont="1" applyFill="1" applyBorder="1" applyAlignment="1" applyProtection="1">
      <alignment horizontal="center" vertical="center"/>
      <protection locked="0"/>
    </xf>
    <xf numFmtId="0" fontId="14" fillId="4" borderId="22" xfId="0" applyFont="1" applyFill="1" applyBorder="1" applyAlignment="1" applyProtection="1">
      <alignment horizontal="center" vertical="center"/>
      <protection locked="0"/>
    </xf>
    <xf numFmtId="0" fontId="1" fillId="4" borderId="3" xfId="0" applyFont="1" applyFill="1" applyBorder="1" applyAlignment="1" applyProtection="1">
      <alignment horizontal="center" vertical="center"/>
      <protection locked="0"/>
    </xf>
    <xf numFmtId="0" fontId="1" fillId="4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4" fontId="11" fillId="2" borderId="24" xfId="0" applyNumberFormat="1" applyFont="1" applyFill="1" applyBorder="1" applyAlignment="1">
      <alignment horizontal="center" textRotation="90"/>
    </xf>
    <xf numFmtId="0" fontId="15" fillId="4" borderId="3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left" vertical="center" wrapText="1" indent="1"/>
    </xf>
    <xf numFmtId="0" fontId="6" fillId="2" borderId="8" xfId="0" applyFont="1" applyFill="1" applyBorder="1" applyAlignment="1">
      <alignment horizontal="left" vertical="center" wrapText="1" indent="1"/>
    </xf>
    <xf numFmtId="0" fontId="6" fillId="2" borderId="9" xfId="0" applyFont="1" applyFill="1" applyBorder="1" applyAlignment="1">
      <alignment horizontal="left" vertical="center" wrapText="1" indent="1"/>
    </xf>
    <xf numFmtId="0" fontId="6" fillId="2" borderId="10" xfId="0" applyFont="1" applyFill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6" fillId="2" borderId="11" xfId="0" applyFont="1" applyFill="1" applyBorder="1" applyAlignment="1">
      <alignment horizontal="left" vertical="center" wrapText="1" indent="1"/>
    </xf>
    <xf numFmtId="0" fontId="7" fillId="4" borderId="4" xfId="0" applyFont="1" applyFill="1" applyBorder="1" applyAlignment="1">
      <alignment horizontal="center" vertical="top"/>
    </xf>
    <xf numFmtId="0" fontId="7" fillId="4" borderId="22" xfId="0" applyFont="1" applyFill="1" applyBorder="1" applyAlignment="1">
      <alignment horizontal="center" vertical="top"/>
    </xf>
    <xf numFmtId="0" fontId="7" fillId="4" borderId="6" xfId="0" applyFont="1" applyFill="1" applyBorder="1" applyAlignment="1">
      <alignment horizontal="center" vertical="top"/>
    </xf>
    <xf numFmtId="0" fontId="7" fillId="4" borderId="23" xfId="0" applyFont="1" applyFill="1" applyBorder="1" applyAlignment="1">
      <alignment horizontal="center" vertical="top"/>
    </xf>
    <xf numFmtId="0" fontId="1" fillId="4" borderId="4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4" borderId="4" xfId="0" applyFont="1" applyFill="1" applyBorder="1" applyAlignment="1" applyProtection="1">
      <alignment horizontal="center" vertical="center"/>
      <protection locked="0"/>
    </xf>
    <xf numFmtId="0" fontId="1" fillId="4" borderId="22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1">
    <dxf>
      <fill>
        <patternFill patternType="solid">
          <bgColor theme="0" tint="-0.34998626667073579"/>
        </patternFill>
      </fill>
    </dxf>
  </dxfs>
  <tableStyles count="0" defaultTableStyle="TableStyleMedium9" defaultPivotStyle="PivotStyleLight16"/>
  <colors>
    <mruColors>
      <color rgb="FFA20000"/>
      <color rgb="FFC00F0F"/>
      <color rgb="FFB40606"/>
      <color rgb="FF9A0000"/>
      <color rgb="FFB90000"/>
      <color rgb="FFB4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>
    <pageSetUpPr fitToPage="1"/>
  </sheetPr>
  <dimension ref="B1:AU23"/>
  <sheetViews>
    <sheetView tabSelected="1" zoomScale="77" zoomScaleNormal="77" zoomScaleSheetLayoutView="67" workbookViewId="0">
      <selection activeCell="K8" sqref="K8"/>
    </sheetView>
  </sheetViews>
  <sheetFormatPr defaultColWidth="9.140625" defaultRowHeight="13.9"/>
  <cols>
    <col min="1" max="1" width="2.28515625" style="5" customWidth="1"/>
    <col min="2" max="2" width="5.140625" style="5" customWidth="1"/>
    <col min="3" max="3" width="14.85546875" style="5" customWidth="1"/>
    <col min="4" max="4" width="33.7109375" style="5" customWidth="1"/>
    <col min="5" max="8" width="4.5703125" style="5" customWidth="1"/>
    <col min="9" max="11" width="4.5703125" style="6" customWidth="1"/>
    <col min="12" max="12" width="22.7109375" style="6" customWidth="1"/>
    <col min="13" max="34" width="4.5703125" style="6" customWidth="1"/>
    <col min="35" max="35" width="3.42578125" style="6" customWidth="1"/>
    <col min="36" max="36" width="10.42578125" style="6" customWidth="1"/>
    <col min="37" max="37" width="5.85546875" style="6" customWidth="1"/>
    <col min="38" max="44" width="3.42578125" style="6" customWidth="1"/>
    <col min="45" max="45" width="7" style="6" customWidth="1"/>
    <col min="46" max="46" width="7.140625" style="5" customWidth="1"/>
    <col min="47" max="47" width="1.85546875" style="5" customWidth="1"/>
    <col min="48" max="48" width="10.42578125" style="5" customWidth="1"/>
    <col min="49" max="16384" width="9.140625" style="5"/>
  </cols>
  <sheetData>
    <row r="1" spans="2:46" s="4" customFormat="1" ht="24" customHeight="1">
      <c r="B1" s="26" t="s">
        <v>0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</row>
    <row r="2" spans="2:46" s="4" customFormat="1" ht="24" customHeight="1">
      <c r="B2" s="26" t="s">
        <v>1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</row>
    <row r="3" spans="2:46" ht="5.0999999999999996" customHeight="1"/>
    <row r="4" spans="2:46" ht="18" customHeight="1">
      <c r="B4" s="27" t="s">
        <v>2</v>
      </c>
      <c r="C4" s="28"/>
      <c r="D4" s="28"/>
      <c r="E4" s="29" t="s">
        <v>3</v>
      </c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30"/>
      <c r="AG4" s="31" t="s">
        <v>4</v>
      </c>
      <c r="AH4" s="32"/>
      <c r="AI4" s="32"/>
      <c r="AJ4" s="32"/>
      <c r="AK4" s="32"/>
      <c r="AL4" s="32"/>
      <c r="AM4" s="32"/>
      <c r="AN4" s="33">
        <v>2025</v>
      </c>
      <c r="AO4" s="33"/>
      <c r="AP4" s="33"/>
      <c r="AQ4" s="33"/>
      <c r="AR4" s="33"/>
      <c r="AS4" s="33"/>
      <c r="AT4" s="34"/>
    </row>
    <row r="5" spans="2:46" ht="18" customHeight="1">
      <c r="B5" s="35" t="s">
        <v>5</v>
      </c>
      <c r="C5" s="36"/>
      <c r="D5" s="36"/>
      <c r="E5" s="37" t="s">
        <v>6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8"/>
      <c r="Y5" s="21"/>
      <c r="Z5" s="21"/>
      <c r="AA5" s="21"/>
      <c r="AB5" s="21"/>
      <c r="AC5" s="21"/>
      <c r="AD5" s="21"/>
      <c r="AE5" s="21"/>
      <c r="AG5" s="39" t="s">
        <v>7</v>
      </c>
      <c r="AH5" s="40"/>
      <c r="AI5" s="40"/>
      <c r="AJ5" s="40"/>
      <c r="AK5" s="40"/>
      <c r="AL5" s="40"/>
      <c r="AM5" s="40"/>
      <c r="AN5" s="41" t="s">
        <v>8</v>
      </c>
      <c r="AO5" s="41" t="s">
        <v>8</v>
      </c>
      <c r="AP5" s="41" t="s">
        <v>8</v>
      </c>
      <c r="AQ5" s="41" t="s">
        <v>8</v>
      </c>
      <c r="AR5" s="41" t="s">
        <v>8</v>
      </c>
      <c r="AS5" s="41" t="s">
        <v>8</v>
      </c>
      <c r="AT5" s="42" t="s">
        <v>8</v>
      </c>
    </row>
    <row r="6" spans="2:46" ht="18" customHeight="1">
      <c r="B6" s="35" t="s">
        <v>9</v>
      </c>
      <c r="C6" s="36"/>
      <c r="D6" s="36"/>
      <c r="E6" s="37" t="s">
        <v>10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8"/>
      <c r="X6" s="21"/>
      <c r="Y6" s="21"/>
      <c r="Z6" s="22"/>
      <c r="AA6" s="22"/>
      <c r="AB6" s="23"/>
      <c r="AC6" s="23"/>
      <c r="AD6" s="23"/>
      <c r="AE6" s="23"/>
      <c r="AF6" s="23"/>
      <c r="AG6" s="43" t="s">
        <v>11</v>
      </c>
      <c r="AH6" s="44"/>
      <c r="AI6" s="44"/>
      <c r="AJ6" s="44"/>
      <c r="AK6" s="44"/>
      <c r="AL6" s="44"/>
      <c r="AM6" s="44"/>
      <c r="AN6" s="45" t="s">
        <v>12</v>
      </c>
      <c r="AO6" s="45" t="s">
        <v>13</v>
      </c>
      <c r="AP6" s="45" t="s">
        <v>13</v>
      </c>
      <c r="AQ6" s="45" t="s">
        <v>13</v>
      </c>
      <c r="AR6" s="45" t="s">
        <v>13</v>
      </c>
      <c r="AS6" s="45" t="s">
        <v>13</v>
      </c>
      <c r="AT6" s="46" t="s">
        <v>13</v>
      </c>
    </row>
    <row r="7" spans="2:46" ht="18" customHeight="1">
      <c r="B7" s="47" t="s">
        <v>14</v>
      </c>
      <c r="C7" s="48"/>
      <c r="D7" s="48"/>
      <c r="E7" s="49" t="s">
        <v>15</v>
      </c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50"/>
      <c r="X7" s="21"/>
      <c r="Y7" s="21"/>
      <c r="AC7" s="21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</row>
    <row r="8" spans="2:46">
      <c r="B8" s="7"/>
      <c r="C8" s="8"/>
      <c r="D8" s="8"/>
      <c r="E8" s="14"/>
      <c r="F8" s="14"/>
      <c r="G8" s="14"/>
      <c r="H8" s="14"/>
      <c r="X8" s="21"/>
      <c r="Y8" s="21"/>
      <c r="AC8" s="21"/>
      <c r="AM8" s="21"/>
      <c r="AN8" s="21"/>
      <c r="AO8" s="21"/>
      <c r="AP8" s="21"/>
      <c r="AQ8" s="21"/>
      <c r="AR8" s="21"/>
      <c r="AS8" s="21"/>
      <c r="AT8" s="21"/>
    </row>
    <row r="9" spans="2:46" ht="30" customHeight="1">
      <c r="B9" s="77" t="s">
        <v>16</v>
      </c>
      <c r="C9" s="78"/>
      <c r="D9" s="79"/>
      <c r="E9" s="61">
        <v>45901</v>
      </c>
      <c r="F9" s="57">
        <v>45902</v>
      </c>
      <c r="G9" s="59">
        <v>45903</v>
      </c>
      <c r="H9" s="61">
        <v>45904</v>
      </c>
      <c r="I9" s="57">
        <v>45905</v>
      </c>
      <c r="J9" s="59">
        <v>45906</v>
      </c>
      <c r="K9" s="61">
        <v>45907</v>
      </c>
      <c r="L9" s="57">
        <v>45908</v>
      </c>
      <c r="M9" s="59">
        <v>45909</v>
      </c>
      <c r="N9" s="61">
        <v>45910</v>
      </c>
      <c r="O9" s="57">
        <v>45911</v>
      </c>
      <c r="P9" s="59">
        <v>45912</v>
      </c>
      <c r="Q9" s="61">
        <v>45913</v>
      </c>
      <c r="R9" s="57">
        <v>45914</v>
      </c>
      <c r="S9" s="59">
        <v>45915</v>
      </c>
      <c r="T9" s="61">
        <v>45916</v>
      </c>
      <c r="U9" s="57">
        <v>45917</v>
      </c>
      <c r="V9" s="59">
        <v>45918</v>
      </c>
      <c r="W9" s="61">
        <v>45919</v>
      </c>
      <c r="X9" s="57">
        <v>45920</v>
      </c>
      <c r="Y9" s="59">
        <v>45921</v>
      </c>
      <c r="Z9" s="61">
        <v>45922</v>
      </c>
      <c r="AA9" s="57">
        <v>45923</v>
      </c>
      <c r="AB9" s="59">
        <v>45924</v>
      </c>
      <c r="AC9" s="61">
        <v>45925</v>
      </c>
      <c r="AD9" s="57">
        <v>45926</v>
      </c>
      <c r="AE9" s="59">
        <v>45927</v>
      </c>
      <c r="AF9" s="61">
        <v>45928</v>
      </c>
      <c r="AG9" s="57">
        <v>45929</v>
      </c>
      <c r="AH9" s="59">
        <v>45930</v>
      </c>
      <c r="AI9" s="61">
        <v>45931</v>
      </c>
      <c r="AJ9" s="57">
        <v>45932</v>
      </c>
      <c r="AK9" s="75" t="s">
        <v>17</v>
      </c>
      <c r="AL9" s="5"/>
      <c r="AM9" s="5"/>
      <c r="AN9" s="5"/>
      <c r="AO9" s="5"/>
      <c r="AP9" s="5"/>
      <c r="AQ9" s="5"/>
      <c r="AR9" s="5"/>
      <c r="AS9" s="5"/>
    </row>
    <row r="10" spans="2:46" ht="30" customHeight="1">
      <c r="B10" s="80"/>
      <c r="C10" s="81"/>
      <c r="D10" s="82"/>
      <c r="E10" s="62"/>
      <c r="F10" s="58"/>
      <c r="G10" s="60"/>
      <c r="H10" s="62"/>
      <c r="I10" s="58"/>
      <c r="J10" s="60"/>
      <c r="K10" s="62"/>
      <c r="L10" s="58"/>
      <c r="M10" s="60"/>
      <c r="N10" s="62"/>
      <c r="O10" s="58"/>
      <c r="P10" s="60"/>
      <c r="Q10" s="62"/>
      <c r="R10" s="58"/>
      <c r="S10" s="60"/>
      <c r="T10" s="62"/>
      <c r="U10" s="58"/>
      <c r="V10" s="60"/>
      <c r="W10" s="62"/>
      <c r="X10" s="58"/>
      <c r="Y10" s="60"/>
      <c r="Z10" s="62"/>
      <c r="AA10" s="58"/>
      <c r="AB10" s="60"/>
      <c r="AC10" s="62"/>
      <c r="AD10" s="58"/>
      <c r="AE10" s="60"/>
      <c r="AF10" s="62"/>
      <c r="AG10" s="58"/>
      <c r="AH10" s="60"/>
      <c r="AI10" s="62"/>
      <c r="AJ10" s="72"/>
      <c r="AK10" s="76"/>
      <c r="AL10" s="5"/>
      <c r="AM10" s="5"/>
      <c r="AN10" s="5"/>
      <c r="AO10" s="5"/>
      <c r="AP10" s="5"/>
      <c r="AQ10" s="5"/>
      <c r="AR10" s="5"/>
      <c r="AS10" s="5"/>
    </row>
    <row r="11" spans="2:46" ht="15" customHeight="1">
      <c r="B11" s="51"/>
      <c r="C11" s="52"/>
      <c r="D11" s="53"/>
      <c r="E11" s="15">
        <v>0</v>
      </c>
      <c r="F11" s="15">
        <v>0</v>
      </c>
      <c r="G11" s="15">
        <v>5</v>
      </c>
      <c r="H11" s="15">
        <v>0</v>
      </c>
      <c r="I11" s="15">
        <v>0</v>
      </c>
      <c r="J11" s="15">
        <v>3</v>
      </c>
      <c r="K11" s="15">
        <v>0</v>
      </c>
      <c r="L11" s="15">
        <v>7</v>
      </c>
      <c r="M11" s="15">
        <v>0</v>
      </c>
      <c r="N11" s="15">
        <v>5</v>
      </c>
      <c r="O11" s="15">
        <v>0</v>
      </c>
      <c r="P11" s="15">
        <v>0</v>
      </c>
      <c r="Q11" s="15">
        <v>3</v>
      </c>
      <c r="R11" s="15">
        <v>0</v>
      </c>
      <c r="S11" s="15">
        <v>7</v>
      </c>
      <c r="T11" s="15">
        <v>0</v>
      </c>
      <c r="U11" s="15">
        <v>5</v>
      </c>
      <c r="V11" s="15">
        <v>0</v>
      </c>
      <c r="W11" s="15">
        <v>0</v>
      </c>
      <c r="X11" s="15">
        <v>3</v>
      </c>
      <c r="Y11" s="15">
        <v>0</v>
      </c>
      <c r="Z11" s="15">
        <v>7</v>
      </c>
      <c r="AA11" s="15">
        <v>0</v>
      </c>
      <c r="AB11" s="15">
        <v>5</v>
      </c>
      <c r="AC11" s="15">
        <v>0</v>
      </c>
      <c r="AD11" s="15">
        <v>0</v>
      </c>
      <c r="AE11" s="15">
        <v>3</v>
      </c>
      <c r="AF11" s="15">
        <v>0</v>
      </c>
      <c r="AG11" s="15">
        <v>7</v>
      </c>
      <c r="AH11" s="15">
        <v>0</v>
      </c>
      <c r="AI11" s="15"/>
      <c r="AJ11" s="15"/>
      <c r="AK11" s="25">
        <f>IF(SUM(E11:AJ11)=0,"",SUM(E11:AJ11))</f>
        <v>60</v>
      </c>
      <c r="AL11" s="5"/>
      <c r="AM11" s="5"/>
      <c r="AN11" s="5"/>
      <c r="AO11" s="5"/>
      <c r="AP11" s="5"/>
      <c r="AQ11" s="5"/>
      <c r="AR11" s="5"/>
      <c r="AS11" s="5"/>
    </row>
    <row r="12" spans="2:46" ht="18.75" hidden="1" customHeight="1">
      <c r="B12" s="8"/>
      <c r="C12" s="9"/>
      <c r="D12" s="9"/>
      <c r="E12" s="9"/>
      <c r="F12" s="9"/>
      <c r="G12" s="9"/>
      <c r="H12" s="9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</row>
    <row r="13" spans="2:46" ht="12.75" hidden="1" customHeight="1">
      <c r="B13" s="10"/>
      <c r="C13" s="11"/>
      <c r="D13" s="11"/>
      <c r="E13" s="11"/>
      <c r="F13" s="11"/>
      <c r="G13" s="11"/>
      <c r="H13" s="11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</row>
    <row r="14" spans="2:46" ht="8.1" customHeight="1">
      <c r="C14" s="12"/>
      <c r="D14" s="12"/>
      <c r="E14" s="12"/>
      <c r="F14" s="12"/>
      <c r="G14" s="12"/>
      <c r="H14" s="12"/>
      <c r="AM14" s="21"/>
      <c r="AN14" s="21"/>
      <c r="AO14" s="21"/>
      <c r="AP14" s="21"/>
      <c r="AQ14" s="21"/>
    </row>
    <row r="15" spans="2:46" ht="18" customHeight="1">
      <c r="C15" s="13"/>
      <c r="D15" s="12"/>
      <c r="F15" s="12"/>
      <c r="G15" s="12"/>
      <c r="H15" s="12"/>
      <c r="L15" s="5"/>
      <c r="O15" s="5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</row>
    <row r="16" spans="2:46" ht="31.5" customHeight="1">
      <c r="C16" s="54" t="s">
        <v>18</v>
      </c>
      <c r="D16" s="55"/>
      <c r="E16" s="56"/>
      <c r="F16" s="12"/>
      <c r="G16" s="12"/>
      <c r="I16" s="18"/>
      <c r="J16" s="19"/>
      <c r="K16" s="20"/>
      <c r="L16" s="54" t="s">
        <v>19</v>
      </c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6"/>
      <c r="AG16" s="19"/>
      <c r="AH16" s="19"/>
      <c r="AI16" s="20"/>
      <c r="AJ16" s="63" t="s">
        <v>20</v>
      </c>
      <c r="AK16" s="64"/>
      <c r="AL16" s="64"/>
      <c r="AM16" s="64"/>
      <c r="AN16" s="64"/>
      <c r="AO16" s="64"/>
      <c r="AP16" s="64"/>
      <c r="AQ16" s="64"/>
      <c r="AR16" s="64"/>
      <c r="AS16" s="64"/>
      <c r="AT16" s="65"/>
    </row>
    <row r="17" spans="3:47" ht="15" customHeight="1">
      <c r="C17" s="69" t="s">
        <v>21</v>
      </c>
      <c r="D17" s="91" t="s">
        <v>3</v>
      </c>
      <c r="E17" s="92"/>
      <c r="F17" s="12"/>
      <c r="G17" s="12"/>
      <c r="I17" s="18"/>
      <c r="J17" s="19"/>
      <c r="K17" s="20"/>
      <c r="L17" s="69" t="s">
        <v>21</v>
      </c>
      <c r="M17" s="91" t="s">
        <v>22</v>
      </c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2"/>
      <c r="AG17" s="19"/>
      <c r="AH17" s="19"/>
      <c r="AI17" s="20"/>
      <c r="AJ17" s="66" t="s">
        <v>23</v>
      </c>
      <c r="AK17" s="67"/>
      <c r="AL17" s="67"/>
      <c r="AM17" s="67"/>
      <c r="AN17" s="67"/>
      <c r="AO17" s="67"/>
      <c r="AP17" s="67"/>
      <c r="AQ17" s="67"/>
      <c r="AR17" s="67"/>
      <c r="AS17" s="67"/>
      <c r="AT17" s="68"/>
    </row>
    <row r="18" spans="3:47" ht="15" customHeight="1">
      <c r="C18" s="69"/>
      <c r="D18" s="91"/>
      <c r="E18" s="92"/>
      <c r="F18" s="12"/>
      <c r="G18" s="12"/>
      <c r="I18" s="18"/>
      <c r="J18" s="19"/>
      <c r="K18" s="20"/>
      <c r="L18" s="69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2"/>
      <c r="AG18" s="19"/>
      <c r="AH18" s="19"/>
      <c r="AI18" s="20"/>
      <c r="AJ18" s="66" t="s">
        <v>24</v>
      </c>
      <c r="AK18" s="67"/>
      <c r="AL18" s="67"/>
      <c r="AM18" s="67"/>
      <c r="AN18" s="67"/>
      <c r="AO18" s="67"/>
      <c r="AP18" s="67"/>
      <c r="AQ18" s="67"/>
      <c r="AR18" s="67"/>
      <c r="AS18" s="67"/>
      <c r="AT18" s="68"/>
    </row>
    <row r="19" spans="3:47" ht="15" customHeight="1">
      <c r="C19" s="69"/>
      <c r="D19" s="91"/>
      <c r="E19" s="92"/>
      <c r="F19" s="12"/>
      <c r="G19" s="12"/>
      <c r="I19" s="18"/>
      <c r="J19" s="19"/>
      <c r="K19" s="20"/>
      <c r="L19" s="69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2"/>
      <c r="AG19" s="19"/>
      <c r="AH19" s="19"/>
      <c r="AI19" s="20"/>
      <c r="AJ19" s="66"/>
      <c r="AK19" s="67"/>
      <c r="AL19" s="67"/>
      <c r="AM19" s="67"/>
      <c r="AN19" s="67"/>
      <c r="AO19" s="67"/>
      <c r="AP19" s="67"/>
      <c r="AQ19" s="67"/>
      <c r="AR19" s="67"/>
      <c r="AS19" s="67"/>
      <c r="AT19" s="68"/>
    </row>
    <row r="20" spans="3:47" ht="15" customHeight="1">
      <c r="C20" s="70" t="s">
        <v>25</v>
      </c>
      <c r="D20" s="87"/>
      <c r="E20" s="88"/>
      <c r="F20" s="9"/>
      <c r="G20" s="9"/>
      <c r="I20" s="19"/>
      <c r="J20" s="19"/>
      <c r="K20" s="19"/>
      <c r="L20" s="70" t="s">
        <v>25</v>
      </c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8"/>
      <c r="AG20" s="19"/>
      <c r="AH20" s="19"/>
      <c r="AI20" s="20"/>
      <c r="AJ20" s="73" t="s">
        <v>25</v>
      </c>
      <c r="AK20" s="83"/>
      <c r="AL20" s="83"/>
      <c r="AM20" s="83"/>
      <c r="AN20" s="83"/>
      <c r="AO20" s="83"/>
      <c r="AP20" s="83"/>
      <c r="AQ20" s="83"/>
      <c r="AR20" s="83"/>
      <c r="AS20" s="83"/>
      <c r="AT20" s="84"/>
    </row>
    <row r="21" spans="3:47" ht="18" customHeight="1">
      <c r="C21" s="70"/>
      <c r="D21" s="87"/>
      <c r="E21" s="88"/>
      <c r="I21" s="19"/>
      <c r="J21" s="19"/>
      <c r="K21" s="19"/>
      <c r="L21" s="70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8"/>
      <c r="AD21" s="21"/>
      <c r="AE21" s="21"/>
      <c r="AG21" s="19"/>
      <c r="AH21" s="19"/>
      <c r="AI21" s="20"/>
      <c r="AJ21" s="73"/>
      <c r="AK21" s="83"/>
      <c r="AL21" s="83"/>
      <c r="AM21" s="83"/>
      <c r="AN21" s="83"/>
      <c r="AO21" s="83"/>
      <c r="AP21" s="83"/>
      <c r="AQ21" s="83"/>
      <c r="AR21" s="83"/>
      <c r="AS21" s="83"/>
      <c r="AT21" s="84"/>
    </row>
    <row r="22" spans="3:47" ht="14.1" customHeight="1">
      <c r="C22" s="70"/>
      <c r="D22" s="87"/>
      <c r="E22" s="88"/>
      <c r="I22" s="19"/>
      <c r="J22" s="19"/>
      <c r="K22" s="19"/>
      <c r="L22" s="70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8"/>
      <c r="AD22" s="24"/>
      <c r="AE22" s="24"/>
      <c r="AG22" s="19"/>
      <c r="AH22" s="19"/>
      <c r="AI22" s="20"/>
      <c r="AJ22" s="73"/>
      <c r="AK22" s="83"/>
      <c r="AL22" s="83"/>
      <c r="AM22" s="83"/>
      <c r="AN22" s="83"/>
      <c r="AO22" s="83"/>
      <c r="AP22" s="83"/>
      <c r="AQ22" s="83"/>
      <c r="AR22" s="83"/>
      <c r="AS22" s="83"/>
      <c r="AT22" s="84"/>
      <c r="AU22" s="24"/>
    </row>
    <row r="23" spans="3:47" ht="39" customHeight="1">
      <c r="C23" s="71"/>
      <c r="D23" s="89"/>
      <c r="E23" s="90"/>
      <c r="I23" s="18"/>
      <c r="J23" s="19"/>
      <c r="K23" s="20"/>
      <c r="L23" s="71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90"/>
      <c r="AG23" s="19"/>
      <c r="AH23" s="19"/>
      <c r="AI23" s="20"/>
      <c r="AJ23" s="74"/>
      <c r="AK23" s="85"/>
      <c r="AL23" s="85"/>
      <c r="AM23" s="85"/>
      <c r="AN23" s="85"/>
      <c r="AO23" s="85"/>
      <c r="AP23" s="85"/>
      <c r="AQ23" s="85"/>
      <c r="AR23" s="85"/>
      <c r="AS23" s="85"/>
      <c r="AT23" s="86"/>
    </row>
  </sheetData>
  <mergeCells count="66">
    <mergeCell ref="AI9:AI10"/>
    <mergeCell ref="AJ9:AJ10"/>
    <mergeCell ref="AJ20:AJ23"/>
    <mergeCell ref="AK9:AK10"/>
    <mergeCell ref="B9:D10"/>
    <mergeCell ref="AJ18:AT19"/>
    <mergeCell ref="AK20:AT23"/>
    <mergeCell ref="D20:E23"/>
    <mergeCell ref="M20:X23"/>
    <mergeCell ref="M17:X19"/>
    <mergeCell ref="D17:E19"/>
    <mergeCell ref="AD9:AD10"/>
    <mergeCell ref="AE9:AE10"/>
    <mergeCell ref="AF9:AF10"/>
    <mergeCell ref="AG9:AG10"/>
    <mergeCell ref="AH9:AH10"/>
    <mergeCell ref="Y9:Y10"/>
    <mergeCell ref="Z9:Z10"/>
    <mergeCell ref="AA9:AA10"/>
    <mergeCell ref="AB9:AB10"/>
    <mergeCell ref="AC9:AC10"/>
    <mergeCell ref="AJ16:AT16"/>
    <mergeCell ref="AJ17:AT17"/>
    <mergeCell ref="C17:C19"/>
    <mergeCell ref="C20:C23"/>
    <mergeCell ref="E9:E10"/>
    <mergeCell ref="F9:F10"/>
    <mergeCell ref="G9:G10"/>
    <mergeCell ref="H9:H10"/>
    <mergeCell ref="I9:I10"/>
    <mergeCell ref="J9:J10"/>
    <mergeCell ref="K9:K10"/>
    <mergeCell ref="L9:L10"/>
    <mergeCell ref="L17:L19"/>
    <mergeCell ref="L20:L23"/>
    <mergeCell ref="M9:M10"/>
    <mergeCell ref="N9:N10"/>
    <mergeCell ref="B7:D7"/>
    <mergeCell ref="E7:W7"/>
    <mergeCell ref="B11:D11"/>
    <mergeCell ref="C16:E16"/>
    <mergeCell ref="L16:X16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B5:D5"/>
    <mergeCell ref="E5:W5"/>
    <mergeCell ref="AG5:AM5"/>
    <mergeCell ref="AN5:AT5"/>
    <mergeCell ref="B6:D6"/>
    <mergeCell ref="E6:W6"/>
    <mergeCell ref="AG6:AM6"/>
    <mergeCell ref="AN6:AT6"/>
    <mergeCell ref="B1:AT1"/>
    <mergeCell ref="B2:AT2"/>
    <mergeCell ref="B4:D4"/>
    <mergeCell ref="E4:W4"/>
    <mergeCell ref="AG4:AM4"/>
    <mergeCell ref="AN4:AT4"/>
  </mergeCells>
  <conditionalFormatting sqref="E11:AJ11">
    <cfRule type="expression" dxfId="0" priority="7">
      <formula>NOT(AND((ISERR(SEARCH("Pz",E$9))),(ISERR(SEARCH("Ct",E$9)))))</formula>
    </cfRule>
  </conditionalFormatting>
  <dataValidations count="1">
    <dataValidation type="whole" allowBlank="1" showInputMessage="1" showErrorMessage="1" sqref="E11:Z11 AD11:AJ11" xr:uid="{00000000-0002-0000-0000-000002000000}">
      <formula1>0</formula1>
      <formula2>20</formula2>
    </dataValidation>
  </dataValidations>
  <printOptions horizontalCentered="1" verticalCentered="1"/>
  <pageMargins left="0.39370078740157499" right="0.39370078740157499" top="0.196850393700787" bottom="0.196850393700787" header="0" footer="0.196850393700787"/>
  <pageSetup paperSize="9" scale="53" orientation="landscape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'Ref1'!$B$2:$B$10</xm:f>
          </x14:formula1>
          <xm:sqref>AN4:AT4</xm:sqref>
        </x14:dataValidation>
        <x14:dataValidation type="list" allowBlank="1" showInputMessage="1" showErrorMessage="1" xr:uid="{00000000-0002-0000-0000-000001000000}">
          <x14:formula1>
            <xm:f>'Ref1'!$D$2:$D$4</xm:f>
          </x14:formula1>
          <xm:sqref>AN5:AT5</xm:sqref>
        </x14:dataValidation>
        <x14:dataValidation type="list" allowBlank="1" showInputMessage="1" showErrorMessage="1" xr:uid="{00000000-0002-0000-0000-000003000000}">
          <x14:formula1>
            <xm:f>'Ref1'!$H$2:$H$13</xm:f>
          </x14:formula1>
          <xm:sqref>AN6:AT7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99"/>
  <sheetViews>
    <sheetView topLeftCell="A31" workbookViewId="0">
      <selection activeCell="R38" sqref="R38:R68"/>
    </sheetView>
  </sheetViews>
  <sheetFormatPr defaultColWidth="11.42578125" defaultRowHeight="13.15"/>
  <cols>
    <col min="2" max="3" width="5.140625" customWidth="1"/>
    <col min="4" max="4" width="5.85546875" customWidth="1"/>
    <col min="6" max="6" width="9.28515625" customWidth="1"/>
    <col min="8" max="8" width="7" customWidth="1"/>
    <col min="9" max="9" width="3.140625" customWidth="1"/>
    <col min="10" max="10" width="5" customWidth="1"/>
    <col min="11" max="11" width="5.7109375" style="1" customWidth="1"/>
    <col min="13" max="13" width="11.85546875" customWidth="1"/>
    <col min="15" max="15" width="2.140625" customWidth="1"/>
    <col min="16" max="16" width="3.140625" customWidth="1"/>
    <col min="17" max="17" width="10.140625" style="2" customWidth="1"/>
    <col min="18" max="18" width="10.7109375" customWidth="1"/>
  </cols>
  <sheetData>
    <row r="2" spans="2:18">
      <c r="B2">
        <v>2022</v>
      </c>
      <c r="C2">
        <v>2013</v>
      </c>
      <c r="D2" t="s">
        <v>8</v>
      </c>
      <c r="F2" t="s">
        <v>26</v>
      </c>
      <c r="H2" t="s">
        <v>27</v>
      </c>
      <c r="I2">
        <v>9</v>
      </c>
      <c r="J2" t="s">
        <v>28</v>
      </c>
      <c r="K2" s="1">
        <v>0.29166666666666702</v>
      </c>
      <c r="M2" t="s">
        <v>29</v>
      </c>
    </row>
    <row r="3" spans="2:18" ht="13.9">
      <c r="B3">
        <v>2023</v>
      </c>
      <c r="C3">
        <v>2014</v>
      </c>
      <c r="D3" t="s">
        <v>30</v>
      </c>
      <c r="F3" t="s">
        <v>31</v>
      </c>
      <c r="H3" t="s">
        <v>12</v>
      </c>
      <c r="I3">
        <v>10</v>
      </c>
      <c r="J3" t="s">
        <v>32</v>
      </c>
      <c r="K3" s="1">
        <v>0.33333333333333298</v>
      </c>
      <c r="M3" t="s">
        <v>33</v>
      </c>
      <c r="O3">
        <v>1</v>
      </c>
      <c r="P3" t="s">
        <v>34</v>
      </c>
      <c r="Q3" s="3">
        <f>DATE(Form_0001!$AN$4,VLOOKUP(Form_0001!$AN$6,'Ref1'!$H$2:$I$13,2,FALSE),1)-5</f>
        <v>45926</v>
      </c>
      <c r="R3" s="2" t="str">
        <f>VLOOKUP(WEEKDAY(Q3),$O$3:$P$9,2,FALSE)&amp;" - "&amp;DAY(Q3)&amp;"."&amp;VLOOKUP(MONTH(Q3),$I$2:$J$13,2,FALSE)</f>
        <v>C - 26.Eyl.</v>
      </c>
    </row>
    <row r="4" spans="2:18">
      <c r="B4">
        <v>2024</v>
      </c>
      <c r="C4">
        <v>2015</v>
      </c>
      <c r="D4" t="s">
        <v>35</v>
      </c>
      <c r="H4" t="s">
        <v>13</v>
      </c>
      <c r="I4">
        <v>11</v>
      </c>
      <c r="J4" t="s">
        <v>36</v>
      </c>
      <c r="K4" s="1">
        <v>0.375</v>
      </c>
      <c r="M4" t="s">
        <v>37</v>
      </c>
      <c r="O4">
        <v>2</v>
      </c>
      <c r="P4" t="s">
        <v>38</v>
      </c>
      <c r="Q4" s="2">
        <f>Q3+1</f>
        <v>45927</v>
      </c>
      <c r="R4" s="2" t="str">
        <f>VLOOKUP(WEEKDAY(Q4),$O$3:$P$9,2,FALSE)&amp;" - "&amp;DAY(Q4)&amp;"."&amp;VLOOKUP(MONTH(Q4),$I$2:$J$13,2,FALSE)</f>
        <v>Ct - 27.Eyl.</v>
      </c>
    </row>
    <row r="5" spans="2:18">
      <c r="B5">
        <v>2025</v>
      </c>
      <c r="C5">
        <v>2016</v>
      </c>
      <c r="H5" t="s">
        <v>39</v>
      </c>
      <c r="I5">
        <v>12</v>
      </c>
      <c r="J5" t="s">
        <v>40</v>
      </c>
      <c r="K5" s="1">
        <v>0.41666666666666702</v>
      </c>
      <c r="M5" t="s">
        <v>41</v>
      </c>
      <c r="O5">
        <v>3</v>
      </c>
      <c r="P5" t="s">
        <v>42</v>
      </c>
      <c r="Q5" s="2">
        <f t="shared" ref="Q5:Q68" si="0">Q4+1</f>
        <v>45928</v>
      </c>
      <c r="R5" s="2" t="str">
        <f t="shared" ref="R5:R39" si="1">VLOOKUP(WEEKDAY(Q5),$O$3:$P$9,2,FALSE)&amp;" - "&amp;DAY(Q5)&amp;"."&amp;VLOOKUP(MONTH(Q5),$I$2:$J$13,2,FALSE)</f>
        <v>Pz - 28.Eyl.</v>
      </c>
    </row>
    <row r="6" spans="2:18">
      <c r="B6">
        <v>2026</v>
      </c>
      <c r="C6">
        <v>2016</v>
      </c>
      <c r="H6" t="s">
        <v>43</v>
      </c>
      <c r="I6">
        <v>1</v>
      </c>
      <c r="J6" t="s">
        <v>44</v>
      </c>
      <c r="K6" s="1">
        <v>0.45833333333333298</v>
      </c>
      <c r="O6">
        <v>4</v>
      </c>
      <c r="P6" t="s">
        <v>45</v>
      </c>
      <c r="Q6" s="2">
        <f t="shared" si="0"/>
        <v>45929</v>
      </c>
      <c r="R6" s="2" t="str">
        <f t="shared" si="1"/>
        <v>Pt - 29.Eyl.</v>
      </c>
    </row>
    <row r="7" spans="2:18">
      <c r="B7">
        <v>2027</v>
      </c>
      <c r="H7" t="s">
        <v>46</v>
      </c>
      <c r="I7">
        <v>2</v>
      </c>
      <c r="J7" t="s">
        <v>47</v>
      </c>
      <c r="K7" s="1">
        <v>0.5</v>
      </c>
      <c r="O7">
        <v>5</v>
      </c>
      <c r="P7" t="s">
        <v>48</v>
      </c>
      <c r="Q7" s="2">
        <f t="shared" si="0"/>
        <v>45930</v>
      </c>
      <c r="R7" s="2" t="str">
        <f t="shared" si="1"/>
        <v>S - 30.Eyl.</v>
      </c>
    </row>
    <row r="8" spans="2:18">
      <c r="B8">
        <v>2028</v>
      </c>
      <c r="H8" t="s">
        <v>49</v>
      </c>
      <c r="I8">
        <v>3</v>
      </c>
      <c r="J8" t="s">
        <v>50</v>
      </c>
      <c r="K8" s="1">
        <v>0.54166666666666696</v>
      </c>
      <c r="O8">
        <v>6</v>
      </c>
      <c r="P8" t="s">
        <v>51</v>
      </c>
      <c r="Q8" s="2">
        <f t="shared" si="0"/>
        <v>45931</v>
      </c>
      <c r="R8" s="2" t="str">
        <f t="shared" si="1"/>
        <v>Ç - 1.Ekm.</v>
      </c>
    </row>
    <row r="9" spans="2:18">
      <c r="B9">
        <v>2029</v>
      </c>
      <c r="H9" t="s">
        <v>52</v>
      </c>
      <c r="I9">
        <v>4</v>
      </c>
      <c r="J9" t="s">
        <v>53</v>
      </c>
      <c r="K9" s="1">
        <v>0.58333333333333304</v>
      </c>
      <c r="O9">
        <v>7</v>
      </c>
      <c r="P9" t="s">
        <v>54</v>
      </c>
      <c r="Q9" s="2">
        <f t="shared" si="0"/>
        <v>45932</v>
      </c>
      <c r="R9" s="2" t="str">
        <f t="shared" si="1"/>
        <v>P - 2.Ekm.</v>
      </c>
    </row>
    <row r="10" spans="2:18">
      <c r="B10">
        <v>2030</v>
      </c>
      <c r="H10" t="s">
        <v>55</v>
      </c>
      <c r="I10">
        <v>5</v>
      </c>
      <c r="J10" t="s">
        <v>56</v>
      </c>
      <c r="K10" s="1">
        <v>0.625</v>
      </c>
      <c r="Q10" s="2">
        <f t="shared" si="0"/>
        <v>45933</v>
      </c>
      <c r="R10" s="2" t="str">
        <f t="shared" si="1"/>
        <v>C - 3.Ekm.</v>
      </c>
    </row>
    <row r="11" spans="2:18">
      <c r="H11" t="s">
        <v>57</v>
      </c>
      <c r="I11">
        <v>6</v>
      </c>
      <c r="J11" t="s">
        <v>58</v>
      </c>
      <c r="K11" s="1">
        <v>0.66666666666666696</v>
      </c>
      <c r="Q11" s="2">
        <f t="shared" si="0"/>
        <v>45934</v>
      </c>
      <c r="R11" s="2" t="str">
        <f t="shared" si="1"/>
        <v>Ct - 4.Ekm.</v>
      </c>
    </row>
    <row r="12" spans="2:18">
      <c r="H12" t="s">
        <v>59</v>
      </c>
      <c r="I12">
        <v>7</v>
      </c>
      <c r="J12" t="s">
        <v>60</v>
      </c>
      <c r="K12" s="1">
        <v>0.70833333333333304</v>
      </c>
      <c r="Q12" s="2">
        <f t="shared" si="0"/>
        <v>45935</v>
      </c>
      <c r="R12" s="2" t="str">
        <f t="shared" si="1"/>
        <v>Pz - 5.Ekm.</v>
      </c>
    </row>
    <row r="13" spans="2:18">
      <c r="H13" t="s">
        <v>61</v>
      </c>
      <c r="I13">
        <v>8</v>
      </c>
      <c r="J13" t="s">
        <v>62</v>
      </c>
      <c r="K13" s="1">
        <v>0.75</v>
      </c>
      <c r="Q13" s="2">
        <f t="shared" si="0"/>
        <v>45936</v>
      </c>
      <c r="R13" s="2" t="str">
        <f t="shared" si="1"/>
        <v>Pt - 6.Ekm.</v>
      </c>
    </row>
    <row r="14" spans="2:18">
      <c r="K14" s="1">
        <v>0.79166666666666696</v>
      </c>
      <c r="Q14" s="2">
        <f t="shared" si="0"/>
        <v>45937</v>
      </c>
      <c r="R14" s="2" t="str">
        <f t="shared" si="1"/>
        <v>S - 7.Ekm.</v>
      </c>
    </row>
    <row r="15" spans="2:18">
      <c r="K15" s="1">
        <v>0.83333333333333304</v>
      </c>
      <c r="Q15" s="2">
        <f t="shared" si="0"/>
        <v>45938</v>
      </c>
      <c r="R15" s="2" t="str">
        <f t="shared" si="1"/>
        <v>Ç - 8.Ekm.</v>
      </c>
    </row>
    <row r="16" spans="2:18">
      <c r="K16" s="1">
        <v>0.875</v>
      </c>
      <c r="Q16" s="2">
        <f t="shared" si="0"/>
        <v>45939</v>
      </c>
      <c r="R16" s="2" t="str">
        <f t="shared" si="1"/>
        <v>P - 9.Ekm.</v>
      </c>
    </row>
    <row r="17" spans="11:18">
      <c r="K17" s="1">
        <v>0.91666666666666596</v>
      </c>
      <c r="Q17" s="2">
        <f t="shared" si="0"/>
        <v>45940</v>
      </c>
      <c r="R17" s="2" t="str">
        <f t="shared" si="1"/>
        <v>C - 10.Ekm.</v>
      </c>
    </row>
    <row r="18" spans="11:18">
      <c r="Q18" s="2">
        <f t="shared" si="0"/>
        <v>45941</v>
      </c>
      <c r="R18" s="2" t="str">
        <f t="shared" si="1"/>
        <v>Ct - 11.Ekm.</v>
      </c>
    </row>
    <row r="19" spans="11:18">
      <c r="Q19" s="2">
        <f t="shared" si="0"/>
        <v>45942</v>
      </c>
      <c r="R19" s="2" t="str">
        <f t="shared" si="1"/>
        <v>Pz - 12.Ekm.</v>
      </c>
    </row>
    <row r="20" spans="11:18">
      <c r="Q20" s="2">
        <f t="shared" si="0"/>
        <v>45943</v>
      </c>
      <c r="R20" s="2" t="str">
        <f t="shared" si="1"/>
        <v>Pt - 13.Ekm.</v>
      </c>
    </row>
    <row r="21" spans="11:18">
      <c r="Q21" s="2">
        <f t="shared" si="0"/>
        <v>45944</v>
      </c>
      <c r="R21" s="2" t="str">
        <f t="shared" si="1"/>
        <v>S - 14.Ekm.</v>
      </c>
    </row>
    <row r="22" spans="11:18">
      <c r="Q22" s="2">
        <f t="shared" si="0"/>
        <v>45945</v>
      </c>
      <c r="R22" s="2" t="str">
        <f t="shared" si="1"/>
        <v>Ç - 15.Ekm.</v>
      </c>
    </row>
    <row r="23" spans="11:18">
      <c r="Q23" s="2">
        <f t="shared" si="0"/>
        <v>45946</v>
      </c>
      <c r="R23" s="2" t="str">
        <f t="shared" si="1"/>
        <v>P - 16.Ekm.</v>
      </c>
    </row>
    <row r="24" spans="11:18">
      <c r="Q24" s="2">
        <f t="shared" si="0"/>
        <v>45947</v>
      </c>
      <c r="R24" s="2" t="str">
        <f t="shared" si="1"/>
        <v>C - 17.Ekm.</v>
      </c>
    </row>
    <row r="25" spans="11:18">
      <c r="Q25" s="2">
        <f t="shared" si="0"/>
        <v>45948</v>
      </c>
      <c r="R25" s="2" t="str">
        <f t="shared" si="1"/>
        <v>Ct - 18.Ekm.</v>
      </c>
    </row>
    <row r="26" spans="11:18">
      <c r="Q26" s="2">
        <f t="shared" si="0"/>
        <v>45949</v>
      </c>
      <c r="R26" s="2" t="str">
        <f t="shared" si="1"/>
        <v>Pz - 19.Ekm.</v>
      </c>
    </row>
    <row r="27" spans="11:18">
      <c r="Q27" s="2">
        <f t="shared" si="0"/>
        <v>45950</v>
      </c>
      <c r="R27" s="2" t="str">
        <f t="shared" si="1"/>
        <v>Pt - 20.Ekm.</v>
      </c>
    </row>
    <row r="28" spans="11:18">
      <c r="Q28" s="2">
        <f t="shared" si="0"/>
        <v>45951</v>
      </c>
      <c r="R28" s="2" t="str">
        <f t="shared" si="1"/>
        <v>S - 21.Ekm.</v>
      </c>
    </row>
    <row r="29" spans="11:18">
      <c r="Q29" s="2">
        <f t="shared" si="0"/>
        <v>45952</v>
      </c>
      <c r="R29" s="2" t="str">
        <f t="shared" si="1"/>
        <v>Ç - 22.Ekm.</v>
      </c>
    </row>
    <row r="30" spans="11:18">
      <c r="Q30" s="2">
        <f t="shared" si="0"/>
        <v>45953</v>
      </c>
      <c r="R30" s="2" t="str">
        <f t="shared" si="1"/>
        <v>P - 23.Ekm.</v>
      </c>
    </row>
    <row r="31" spans="11:18">
      <c r="Q31" s="2">
        <f t="shared" si="0"/>
        <v>45954</v>
      </c>
      <c r="R31" s="2" t="str">
        <f t="shared" si="1"/>
        <v>C - 24.Ekm.</v>
      </c>
    </row>
    <row r="32" spans="11:18">
      <c r="Q32" s="2">
        <f t="shared" si="0"/>
        <v>45955</v>
      </c>
      <c r="R32" s="2" t="str">
        <f t="shared" si="1"/>
        <v>Ct - 25.Ekm.</v>
      </c>
    </row>
    <row r="33" spans="17:18">
      <c r="Q33" s="2">
        <f t="shared" si="0"/>
        <v>45956</v>
      </c>
      <c r="R33" s="2" t="str">
        <f t="shared" si="1"/>
        <v>Pz - 26.Ekm.</v>
      </c>
    </row>
    <row r="34" spans="17:18">
      <c r="Q34" s="2">
        <f t="shared" si="0"/>
        <v>45957</v>
      </c>
      <c r="R34" s="2" t="str">
        <f t="shared" si="1"/>
        <v>Pt - 27.Ekm.</v>
      </c>
    </row>
    <row r="35" spans="17:18">
      <c r="Q35" s="2">
        <f t="shared" si="0"/>
        <v>45958</v>
      </c>
      <c r="R35" s="2" t="str">
        <f t="shared" si="1"/>
        <v>S - 28.Ekm.</v>
      </c>
    </row>
    <row r="36" spans="17:18">
      <c r="Q36" s="2">
        <f t="shared" si="0"/>
        <v>45959</v>
      </c>
      <c r="R36" s="2" t="str">
        <f t="shared" si="1"/>
        <v>Ç - 29.Ekm.</v>
      </c>
    </row>
    <row r="37" spans="17:18">
      <c r="Q37" s="2">
        <f t="shared" si="0"/>
        <v>45960</v>
      </c>
      <c r="R37" s="2" t="str">
        <f t="shared" si="1"/>
        <v>P - 30.Ekm.</v>
      </c>
    </row>
    <row r="38" spans="17:18">
      <c r="Q38" s="2">
        <f t="shared" si="0"/>
        <v>45961</v>
      </c>
      <c r="R38" s="2" t="str">
        <f t="shared" si="1"/>
        <v>C - 31.Ekm.</v>
      </c>
    </row>
    <row r="39" spans="17:18">
      <c r="Q39" s="2">
        <f t="shared" si="0"/>
        <v>45962</v>
      </c>
      <c r="R39" s="2" t="str">
        <f t="shared" si="1"/>
        <v>Ct - 1.Kas.</v>
      </c>
    </row>
    <row r="40" spans="17:18">
      <c r="Q40" s="2">
        <f t="shared" si="0"/>
        <v>45963</v>
      </c>
      <c r="R40" s="2" t="str">
        <f t="shared" ref="R40:R61" si="2">VLOOKUP(WEEKDAY(Q40),$O$3:$P$9,2,FALSE)&amp;" - "&amp;DAY(Q40)&amp;"."&amp;VLOOKUP(MONTH(Q40),$I$2:$J$13,2,FALSE)</f>
        <v>Pz - 2.Kas.</v>
      </c>
    </row>
    <row r="41" spans="17:18">
      <c r="Q41" s="2">
        <f t="shared" si="0"/>
        <v>45964</v>
      </c>
      <c r="R41" s="2" t="str">
        <f t="shared" si="2"/>
        <v>Pt - 3.Kas.</v>
      </c>
    </row>
    <row r="42" spans="17:18">
      <c r="Q42" s="2">
        <f t="shared" si="0"/>
        <v>45965</v>
      </c>
      <c r="R42" s="2" t="str">
        <f t="shared" si="2"/>
        <v>S - 4.Kas.</v>
      </c>
    </row>
    <row r="43" spans="17:18">
      <c r="Q43" s="2">
        <f t="shared" si="0"/>
        <v>45966</v>
      </c>
      <c r="R43" s="2" t="str">
        <f t="shared" si="2"/>
        <v>Ç - 5.Kas.</v>
      </c>
    </row>
    <row r="44" spans="17:18">
      <c r="Q44" s="2">
        <f t="shared" si="0"/>
        <v>45967</v>
      </c>
      <c r="R44" s="2" t="str">
        <f t="shared" si="2"/>
        <v>P - 6.Kas.</v>
      </c>
    </row>
    <row r="45" spans="17:18">
      <c r="Q45" s="2">
        <f t="shared" si="0"/>
        <v>45968</v>
      </c>
      <c r="R45" s="2" t="str">
        <f t="shared" si="2"/>
        <v>C - 7.Kas.</v>
      </c>
    </row>
    <row r="46" spans="17:18">
      <c r="Q46" s="2">
        <f t="shared" si="0"/>
        <v>45969</v>
      </c>
      <c r="R46" s="2" t="str">
        <f t="shared" si="2"/>
        <v>Ct - 8.Kas.</v>
      </c>
    </row>
    <row r="47" spans="17:18">
      <c r="Q47" s="2">
        <f t="shared" si="0"/>
        <v>45970</v>
      </c>
      <c r="R47" s="2" t="str">
        <f t="shared" si="2"/>
        <v>Pz - 9.Kas.</v>
      </c>
    </row>
    <row r="48" spans="17:18">
      <c r="Q48" s="2">
        <f t="shared" si="0"/>
        <v>45971</v>
      </c>
      <c r="R48" s="2" t="str">
        <f t="shared" si="2"/>
        <v>Pt - 10.Kas.</v>
      </c>
    </row>
    <row r="49" spans="17:18">
      <c r="Q49" s="2">
        <f t="shared" si="0"/>
        <v>45972</v>
      </c>
      <c r="R49" s="2" t="str">
        <f t="shared" si="2"/>
        <v>S - 11.Kas.</v>
      </c>
    </row>
    <row r="50" spans="17:18">
      <c r="Q50" s="2">
        <f t="shared" si="0"/>
        <v>45973</v>
      </c>
      <c r="R50" s="2" t="str">
        <f t="shared" si="2"/>
        <v>Ç - 12.Kas.</v>
      </c>
    </row>
    <row r="51" spans="17:18">
      <c r="Q51" s="2">
        <f t="shared" si="0"/>
        <v>45974</v>
      </c>
      <c r="R51" s="2" t="str">
        <f t="shared" si="2"/>
        <v>P - 13.Kas.</v>
      </c>
    </row>
    <row r="52" spans="17:18">
      <c r="Q52" s="2">
        <f t="shared" si="0"/>
        <v>45975</v>
      </c>
      <c r="R52" s="2" t="str">
        <f t="shared" si="2"/>
        <v>C - 14.Kas.</v>
      </c>
    </row>
    <row r="53" spans="17:18">
      <c r="Q53" s="2">
        <f t="shared" si="0"/>
        <v>45976</v>
      </c>
      <c r="R53" s="2" t="str">
        <f t="shared" si="2"/>
        <v>Ct - 15.Kas.</v>
      </c>
    </row>
    <row r="54" spans="17:18">
      <c r="Q54" s="2">
        <f t="shared" si="0"/>
        <v>45977</v>
      </c>
      <c r="R54" s="2" t="str">
        <f t="shared" si="2"/>
        <v>Pz - 16.Kas.</v>
      </c>
    </row>
    <row r="55" spans="17:18">
      <c r="Q55" s="2">
        <f t="shared" si="0"/>
        <v>45978</v>
      </c>
      <c r="R55" s="2" t="str">
        <f t="shared" si="2"/>
        <v>Pt - 17.Kas.</v>
      </c>
    </row>
    <row r="56" spans="17:18">
      <c r="Q56" s="2">
        <f t="shared" si="0"/>
        <v>45979</v>
      </c>
      <c r="R56" s="2" t="str">
        <f t="shared" si="2"/>
        <v>S - 18.Kas.</v>
      </c>
    </row>
    <row r="57" spans="17:18">
      <c r="Q57" s="2">
        <f t="shared" si="0"/>
        <v>45980</v>
      </c>
      <c r="R57" s="2" t="str">
        <f t="shared" si="2"/>
        <v>Ç - 19.Kas.</v>
      </c>
    </row>
    <row r="58" spans="17:18">
      <c r="Q58" s="2">
        <f t="shared" si="0"/>
        <v>45981</v>
      </c>
      <c r="R58" s="2" t="str">
        <f t="shared" si="2"/>
        <v>P - 20.Kas.</v>
      </c>
    </row>
    <row r="59" spans="17:18">
      <c r="Q59" s="2">
        <f t="shared" si="0"/>
        <v>45982</v>
      </c>
      <c r="R59" s="2" t="str">
        <f t="shared" si="2"/>
        <v>C - 21.Kas.</v>
      </c>
    </row>
    <row r="60" spans="17:18">
      <c r="Q60" s="2">
        <f t="shared" si="0"/>
        <v>45983</v>
      </c>
      <c r="R60" s="2" t="str">
        <f t="shared" si="2"/>
        <v>Ct - 22.Kas.</v>
      </c>
    </row>
    <row r="61" spans="17:18">
      <c r="Q61" s="2">
        <f t="shared" si="0"/>
        <v>45984</v>
      </c>
      <c r="R61" s="2" t="str">
        <f t="shared" si="2"/>
        <v>Pz - 23.Kas.</v>
      </c>
    </row>
    <row r="62" spans="17:18">
      <c r="Q62" s="2">
        <f t="shared" si="0"/>
        <v>45985</v>
      </c>
      <c r="R62" s="2" t="str">
        <f t="shared" ref="R62:R99" si="3">VLOOKUP(WEEKDAY(Q62),$O$3:$P$9,2,FALSE)&amp;" - "&amp;DAY(Q62)&amp;"."&amp;VLOOKUP(MONTH(Q62),$I$2:$J$13,2,FALSE)</f>
        <v>Pt - 24.Kas.</v>
      </c>
    </row>
    <row r="63" spans="17:18">
      <c r="Q63" s="2">
        <f t="shared" si="0"/>
        <v>45986</v>
      </c>
      <c r="R63" s="2" t="str">
        <f t="shared" si="3"/>
        <v>S - 25.Kas.</v>
      </c>
    </row>
    <row r="64" spans="17:18">
      <c r="Q64" s="2">
        <f t="shared" si="0"/>
        <v>45987</v>
      </c>
      <c r="R64" s="2" t="str">
        <f t="shared" si="3"/>
        <v>Ç - 26.Kas.</v>
      </c>
    </row>
    <row r="65" spans="17:18">
      <c r="Q65" s="2">
        <f t="shared" si="0"/>
        <v>45988</v>
      </c>
      <c r="R65" s="2" t="str">
        <f t="shared" si="3"/>
        <v>P - 27.Kas.</v>
      </c>
    </row>
    <row r="66" spans="17:18">
      <c r="Q66" s="2">
        <f t="shared" si="0"/>
        <v>45989</v>
      </c>
      <c r="R66" s="2" t="str">
        <f t="shared" si="3"/>
        <v>C - 28.Kas.</v>
      </c>
    </row>
    <row r="67" spans="17:18">
      <c r="Q67" s="2">
        <f t="shared" si="0"/>
        <v>45990</v>
      </c>
      <c r="R67" s="2" t="str">
        <f t="shared" si="3"/>
        <v>Ct - 29.Kas.</v>
      </c>
    </row>
    <row r="68" spans="17:18">
      <c r="Q68" s="2">
        <f t="shared" si="0"/>
        <v>45991</v>
      </c>
      <c r="R68" s="2" t="str">
        <f t="shared" si="3"/>
        <v>Pz - 30.Kas.</v>
      </c>
    </row>
    <row r="69" spans="17:18">
      <c r="Q69" s="2">
        <f t="shared" ref="Q69:Q99" si="4">Q68+1</f>
        <v>45992</v>
      </c>
      <c r="R69" s="2" t="str">
        <f t="shared" si="3"/>
        <v>Pt - 1.Ara.</v>
      </c>
    </row>
    <row r="70" spans="17:18">
      <c r="Q70" s="2">
        <f t="shared" si="4"/>
        <v>45993</v>
      </c>
      <c r="R70" s="2" t="str">
        <f t="shared" si="3"/>
        <v>S - 2.Ara.</v>
      </c>
    </row>
    <row r="71" spans="17:18">
      <c r="Q71" s="2">
        <f t="shared" si="4"/>
        <v>45994</v>
      </c>
      <c r="R71" s="2" t="str">
        <f t="shared" si="3"/>
        <v>Ç - 3.Ara.</v>
      </c>
    </row>
    <row r="72" spans="17:18">
      <c r="Q72" s="2">
        <f t="shared" si="4"/>
        <v>45995</v>
      </c>
      <c r="R72" s="2" t="str">
        <f t="shared" si="3"/>
        <v>P - 4.Ara.</v>
      </c>
    </row>
    <row r="73" spans="17:18">
      <c r="Q73" s="2">
        <f t="shared" si="4"/>
        <v>45996</v>
      </c>
      <c r="R73" s="2" t="str">
        <f t="shared" si="3"/>
        <v>C - 5.Ara.</v>
      </c>
    </row>
    <row r="74" spans="17:18">
      <c r="Q74" s="2">
        <f t="shared" si="4"/>
        <v>45997</v>
      </c>
      <c r="R74" s="2" t="str">
        <f t="shared" si="3"/>
        <v>Ct - 6.Ara.</v>
      </c>
    </row>
    <row r="75" spans="17:18">
      <c r="Q75" s="2">
        <f t="shared" si="4"/>
        <v>45998</v>
      </c>
      <c r="R75" s="2" t="str">
        <f t="shared" si="3"/>
        <v>Pz - 7.Ara.</v>
      </c>
    </row>
    <row r="76" spans="17:18">
      <c r="Q76" s="2">
        <f t="shared" si="4"/>
        <v>45999</v>
      </c>
      <c r="R76" s="2" t="str">
        <f t="shared" si="3"/>
        <v>Pt - 8.Ara.</v>
      </c>
    </row>
    <row r="77" spans="17:18">
      <c r="Q77" s="2">
        <f t="shared" si="4"/>
        <v>46000</v>
      </c>
      <c r="R77" s="2" t="str">
        <f t="shared" si="3"/>
        <v>S - 9.Ara.</v>
      </c>
    </row>
    <row r="78" spans="17:18">
      <c r="Q78" s="2">
        <f t="shared" si="4"/>
        <v>46001</v>
      </c>
      <c r="R78" s="2" t="str">
        <f t="shared" si="3"/>
        <v>Ç - 10.Ara.</v>
      </c>
    </row>
    <row r="79" spans="17:18">
      <c r="Q79" s="2">
        <f t="shared" si="4"/>
        <v>46002</v>
      </c>
      <c r="R79" s="2" t="str">
        <f t="shared" si="3"/>
        <v>P - 11.Ara.</v>
      </c>
    </row>
    <row r="80" spans="17:18">
      <c r="Q80" s="2">
        <f t="shared" si="4"/>
        <v>46003</v>
      </c>
      <c r="R80" s="2" t="str">
        <f t="shared" si="3"/>
        <v>C - 12.Ara.</v>
      </c>
    </row>
    <row r="81" spans="17:18">
      <c r="Q81" s="2">
        <f t="shared" si="4"/>
        <v>46004</v>
      </c>
      <c r="R81" s="2" t="str">
        <f t="shared" si="3"/>
        <v>Ct - 13.Ara.</v>
      </c>
    </row>
    <row r="82" spans="17:18">
      <c r="Q82" s="2">
        <f t="shared" si="4"/>
        <v>46005</v>
      </c>
      <c r="R82" s="2" t="str">
        <f t="shared" si="3"/>
        <v>Pz - 14.Ara.</v>
      </c>
    </row>
    <row r="83" spans="17:18">
      <c r="Q83" s="2">
        <f t="shared" si="4"/>
        <v>46006</v>
      </c>
      <c r="R83" s="2" t="str">
        <f t="shared" si="3"/>
        <v>Pt - 15.Ara.</v>
      </c>
    </row>
    <row r="84" spans="17:18">
      <c r="Q84" s="2">
        <f t="shared" si="4"/>
        <v>46007</v>
      </c>
      <c r="R84" s="2" t="str">
        <f t="shared" si="3"/>
        <v>S - 16.Ara.</v>
      </c>
    </row>
    <row r="85" spans="17:18">
      <c r="Q85" s="2">
        <f t="shared" si="4"/>
        <v>46008</v>
      </c>
      <c r="R85" s="2" t="str">
        <f t="shared" si="3"/>
        <v>Ç - 17.Ara.</v>
      </c>
    </row>
    <row r="86" spans="17:18">
      <c r="Q86" s="2">
        <f t="shared" si="4"/>
        <v>46009</v>
      </c>
      <c r="R86" s="2" t="str">
        <f t="shared" si="3"/>
        <v>P - 18.Ara.</v>
      </c>
    </row>
    <row r="87" spans="17:18">
      <c r="Q87" s="2">
        <f t="shared" si="4"/>
        <v>46010</v>
      </c>
      <c r="R87" s="2" t="str">
        <f t="shared" si="3"/>
        <v>C - 19.Ara.</v>
      </c>
    </row>
    <row r="88" spans="17:18">
      <c r="Q88" s="2">
        <f t="shared" si="4"/>
        <v>46011</v>
      </c>
      <c r="R88" s="2" t="str">
        <f t="shared" si="3"/>
        <v>Ct - 20.Ara.</v>
      </c>
    </row>
    <row r="89" spans="17:18">
      <c r="Q89" s="2">
        <f t="shared" si="4"/>
        <v>46012</v>
      </c>
      <c r="R89" s="2" t="str">
        <f t="shared" si="3"/>
        <v>Pz - 21.Ara.</v>
      </c>
    </row>
    <row r="90" spans="17:18">
      <c r="Q90" s="2">
        <f t="shared" si="4"/>
        <v>46013</v>
      </c>
      <c r="R90" s="2" t="str">
        <f t="shared" si="3"/>
        <v>Pt - 22.Ara.</v>
      </c>
    </row>
    <row r="91" spans="17:18">
      <c r="Q91" s="2">
        <f t="shared" si="4"/>
        <v>46014</v>
      </c>
      <c r="R91" s="2" t="str">
        <f t="shared" si="3"/>
        <v>S - 23.Ara.</v>
      </c>
    </row>
    <row r="92" spans="17:18">
      <c r="Q92" s="2">
        <f t="shared" si="4"/>
        <v>46015</v>
      </c>
      <c r="R92" s="2" t="str">
        <f t="shared" si="3"/>
        <v>Ç - 24.Ara.</v>
      </c>
    </row>
    <row r="93" spans="17:18">
      <c r="Q93" s="2">
        <f t="shared" si="4"/>
        <v>46016</v>
      </c>
      <c r="R93" s="2" t="str">
        <f t="shared" si="3"/>
        <v>P - 25.Ara.</v>
      </c>
    </row>
    <row r="94" spans="17:18">
      <c r="Q94" s="2">
        <f t="shared" si="4"/>
        <v>46017</v>
      </c>
      <c r="R94" s="2" t="str">
        <f t="shared" si="3"/>
        <v>C - 26.Ara.</v>
      </c>
    </row>
    <row r="95" spans="17:18">
      <c r="Q95" s="2">
        <f t="shared" si="4"/>
        <v>46018</v>
      </c>
      <c r="R95" s="2" t="str">
        <f t="shared" si="3"/>
        <v>Ct - 27.Ara.</v>
      </c>
    </row>
    <row r="96" spans="17:18">
      <c r="Q96" s="2">
        <f t="shared" si="4"/>
        <v>46019</v>
      </c>
      <c r="R96" s="2" t="str">
        <f t="shared" si="3"/>
        <v>Pz - 28.Ara.</v>
      </c>
    </row>
    <row r="97" spans="17:18">
      <c r="Q97" s="2">
        <f t="shared" si="4"/>
        <v>46020</v>
      </c>
      <c r="R97" s="2" t="str">
        <f t="shared" si="3"/>
        <v>Pt - 29.Ara.</v>
      </c>
    </row>
    <row r="98" spans="17:18">
      <c r="Q98" s="2">
        <f t="shared" si="4"/>
        <v>46021</v>
      </c>
      <c r="R98" s="2" t="str">
        <f t="shared" si="3"/>
        <v>S - 30.Ara.</v>
      </c>
    </row>
    <row r="99" spans="17:18">
      <c r="Q99" s="2">
        <f t="shared" si="4"/>
        <v>46022</v>
      </c>
      <c r="R99" s="2" t="str">
        <f t="shared" si="3"/>
        <v>Ç - 31.Ara.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o.gul</dc:creator>
  <cp:keywords/>
  <dc:description/>
  <cp:lastModifiedBy/>
  <cp:revision/>
  <dcterms:created xsi:type="dcterms:W3CDTF">2023-11-23T16:20:00Z</dcterms:created>
  <dcterms:modified xsi:type="dcterms:W3CDTF">2025-10-21T20:18:26Z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B32387530AA24E25A02C1A496261462B_12</vt:lpwstr>
  </property>
  <property fmtid="{D5CDD505-2E9C-101B-9397-08002B2CF9AE}" pid="3" name="KSOProductBuildVer">
    <vt:lpwstr>1033-6.14.0.8716</vt:lpwstr>
  </property>
</Properties>
</file>